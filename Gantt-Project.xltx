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worksheets/sheet2.xml" ContentType="application/vnd.openxmlformats-officedocument.spreadsheetml.worksheet+xml"/>
  <Override PartName="/xl/worksheets/sheet1.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openxmlformats-officedocument.spreadsheetml.template.main+xml"/>
</Types>
</file>

<file path=_rels/.rels><?xml version="1.0" encoding="UTF-8" standalone="yes"?><Relationships xmlns="http://schemas.openxmlformats.org/package/2006/relationships"><Relationship  Id="rId4" Type="http://schemas.openxmlformats.org/officeDocument/2006/relationships/officeDocument" Target="xl/workbook.xml"/><Relationship  Id="rId3" Type="http://schemas.openxmlformats.org/officeDocument/2006/relationships/custom-properties" Target="docProps/custom.xml"/><Relationship  Id="rId2" Type="http://schemas.openxmlformats.org/package/2006/relationships/metadata/core-properties" Target="docProps/core.xml"/><Relationship  Id="rId1"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workbookPr/>
  <bookViews>
    <workbookView xWindow="360" yWindow="15" windowWidth="20955" windowHeight="9720" activeTab="0"/>
  </bookViews>
  <sheets>
    <sheet name="ProjectSchedule" sheetId="1" state="visible" r:id="rId1"/>
    <sheet name="About" sheetId="2" state="visible" r:id="rId2"/>
  </sheets>
  <definedNames>
    <definedName name="Print_Titles" localSheetId="0">ProjectSchedule!$4:$6</definedName>
    <definedName name="task_end" localSheetId="0">ProjectSchedule!$F1</definedName>
    <definedName name="task_progress" localSheetId="0">ProjectSchedule!$D1</definedName>
    <definedName name="task_start" localSheetId="0">ProjectSchedule!$E1</definedName>
    <definedName name="today" localSheetId="0">TODAY()</definedName>
    <definedName name="Display_Week">ProjectSchedule!$E$4</definedName>
    <definedName name="Project_Start">ProjectSchedule!$E$3</definedName>
  </definedNames>
  <calcPr/>
</workbook>
</file>

<file path=xl/sharedStrings.xml><?xml version="1.0" encoding="utf-8"?>
<sst xmlns="http://schemas.openxmlformats.org/spreadsheetml/2006/main" count="67" uniqueCount="67">
  <si>
    <t xml:space="preserve">Create a Project Schedule in this worksheet.
Enter title of this project in cell B1. 
Information about how to use this worksheet, including instructions for screen readers and the author of this workbook is in the About worksheet.
Continue navigating down column A to hear further instructions.</t>
  </si>
  <si>
    <t xml:space="preserve">Segmentation of Static Scene and Moving Objects from Optical Flow Data</t>
  </si>
  <si>
    <t xml:space="preserve">Enter Company Name in cell B2.</t>
  </si>
  <si>
    <t xml:space="preserve">Enter the name of the Project Lead in cell B3. Enter the Project Start date in cell E3. Pooject Start: label is in cell C3.</t>
  </si>
  <si>
    <t xml:space="preserve">Dario Zehnder</t>
  </si>
  <si>
    <t xml:space="preserve">Project Start:</t>
  </si>
  <si>
    <t xml:space="preserve">The Display Week in cell E4  represents the starting week to display in the project schedule in cell I4. The project start date is considered Week 1. To change the display week, simply enter a new week number in cell E4.
The starting date for each week, starting with the display week from cell E4, starts in cell I4 and is auto calculated. There are 8 weeks represented in this view from cell I4 through cell BF4.
You should not modify these cells.
Display Week: label is in cell C4.</t>
  </si>
  <si>
    <t xml:space="preserve">Jonas Kühne, Seonyeong Heo</t>
  </si>
  <si>
    <t xml:space="preserve">Display Week:</t>
  </si>
  <si>
    <t xml:space="preserve">Cells I5 through BL5 contain the day number for the week represented in the cell block above each date cell and are auto calculated.
You should not modify these cells.
Today's date is outlined in Red (hex #AD3815) from today's date in row 5 through the entire date column to the end of the project schedule.</t>
  </si>
  <si>
    <t xml:space="preserve">This row contains headers for the project schedule that follows below them. 
Navigate from B6 through BL 6 to hear the content. The first letter of each day of the week for the date above that heading, starts in cell I6 and continues through cell BL6.
All project timeline charting is auto generated based on the start and end dates entered, using conditional formats.
Do not modify content in cells within columns after column I starting with cell I7.</t>
  </si>
  <si>
    <t>TASK</t>
  </si>
  <si>
    <t xml:space="preserve">ASSIGNED
TO</t>
  </si>
  <si>
    <t>PROGRESS</t>
  </si>
  <si>
    <t>START</t>
  </si>
  <si>
    <t>END</t>
  </si>
  <si>
    <t>DAYS</t>
  </si>
  <si>
    <t xml:space="preserve">Do not delete this row. This row is hidden to preserve a formula that is used to highlight the curren day within the project schedule. </t>
  </si>
  <si>
    <t xml:space="preserve">Cell B8 contains the Phase 1 sample title. 
Enter a new Title in cell B8.
Enter a name to assign the phase to, if it applies for your project, in cell C8.
Enter Progress for the entire phase, if it applies for your project, in cell D8.
Enter the start and end dates for the entire phase, if it applies for your project, in cells E8 and F8. 
The Gantt chart will automatically fill in the appropriate dates and shade according to the progress entered.
To delete the phase and work only from tasks, simply delete this row.</t>
  </si>
  <si>
    <t xml:space="preserve">Phase 1 Information</t>
  </si>
  <si>
    <t xml:space="preserve">Cell B9 contains the sample task "Task 1." 
Enter a new task name in cell B9.
Enter a person to assign the task to in cell C9.
Enter progres of the task in cell D9. A progress bar appears in the cell and is shaded according to the number in the cell. For example, 50 percent progress would shade half of the cell.
Enter task start date in cell E9.
Enter task end date in cell F9.
A status bar shaded for the dates entered appears in blocks starting from cell I9 through BL9. </t>
  </si>
  <si>
    <t xml:space="preserve">Study Segmentation Algorithms</t>
  </si>
  <si>
    <t xml:space="preserve">Rows 10 through 13 repeat the pattern from row 9. 
Repeat the instructions from cell A9 for all task rows in this worksheet. Overwrite any sample data.
A sample of another phase starts in cell A14. 
Continue entering tasks in cells A10 through A13 or go to cell A14 to learn more.</t>
  </si>
  <si>
    <t xml:space="preserve">Study Epipolar Constraint</t>
  </si>
  <si>
    <t xml:space="preserve">Re-Implement Optical Flow Algorithm</t>
  </si>
  <si>
    <t xml:space="preserve">Gantt Chart</t>
  </si>
  <si>
    <t xml:space="preserve">Improve the mixed Model </t>
  </si>
  <si>
    <t xml:space="preserve">Implement Elliptical Raytracing solution</t>
  </si>
  <si>
    <t xml:space="preserve">The cell at right contains the Phase 2 sample title. 
You can create a new phase at any time within column B. This project schedule does not require phases. To remove the phase, simply delete the row.
To create a new phase block in this row, enter a new Title in cell at right.
To continue adding tasks to the phase above, enter a new row above this one and fill in the task data as in cell A9's instruction.
Update the Phase details in cell at right based on cell A8's instruction.
Continue navigating down column A cells to learn more.
If you haven't added any new rows in this worksheet, you will find 2 additional sample phase blocks have been created for you in cells B20 and B26. Otherwise, navigate through column A cells to find the additional blocks. 
Repeat the instructions from cells A8 and A9 whenever you need to.</t>
  </si>
  <si>
    <t xml:space="preserve">Phase 2 Implementation</t>
  </si>
  <si>
    <t>Pipeline</t>
  </si>
  <si>
    <t xml:space="preserve">Build Testing Framework</t>
  </si>
  <si>
    <t xml:space="preserve">Optimise dType</t>
  </si>
  <si>
    <t xml:space="preserve">Analyze Efficiency</t>
  </si>
  <si>
    <t xml:space="preserve">Try to improve Precision</t>
  </si>
  <si>
    <t xml:space="preserve">Improve Raytracing Method</t>
  </si>
  <si>
    <t xml:space="preserve">Apply Algorithm to KITTI data-set</t>
  </si>
  <si>
    <t xml:space="preserve">Compensate Ego-Motion</t>
  </si>
  <si>
    <t xml:space="preserve">Sample phase title block</t>
  </si>
  <si>
    <t xml:space="preserve">Phase 3 Integration</t>
  </si>
  <si>
    <t xml:space="preserve">Finalize Analysis</t>
  </si>
  <si>
    <t>Evaluation</t>
  </si>
  <si>
    <t xml:space="preserve">Phase 4 Documentation and Report</t>
  </si>
  <si>
    <t>Documentation</t>
  </si>
  <si>
    <t>Report</t>
  </si>
  <si>
    <t>Presentation</t>
  </si>
  <si>
    <t xml:space="preserve">Task 4</t>
  </si>
  <si>
    <t>date</t>
  </si>
  <si>
    <t xml:space="preserve">Task 5</t>
  </si>
  <si>
    <t xml:space="preserve">This is an empty row</t>
  </si>
  <si>
    <t xml:space="preserve">This row marks the end of the Project Schedule. DO NOT enter anything in this row. 
Insert new rows ABOVE this one to continue building out your Project Schedule.</t>
  </si>
  <si>
    <t xml:space="preserve">Insert new rows ABOVE this one</t>
  </si>
  <si>
    <t xml:space="preserve">SIMPLE GANTT CHART by Vertex42.com</t>
  </si>
  <si>
    <t>https://www.vertex42.com/ExcelTemplates/simple-gantt-chart.html</t>
  </si>
  <si>
    <t xml:space="preserve">About This Template</t>
  </si>
  <si>
    <t xml:space="preserve">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</si>
  <si>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 xml:space="preserve">Guide for Screen Readers</t>
  </si>
  <si>
    <t xml:space="preserve">There are 2 worksheets in this workbook. 
TimeSheet
About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This hidden text will not print.
To remove these instructions from the worksheet, simply delete column A.</t>
  </si>
  <si>
    <t xml:space="preserve">Additional Help</t>
  </si>
  <si>
    <t xml:space="preserve">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</si>
  <si>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 xml:space="preserve">How to Use the Simple Gantt Chart</t>
  </si>
  <si>
    <t xml:space="preserve">More Project Management Templates</t>
  </si>
  <si>
    <t xml:space="preserve">Visit Vertex42.com to download other project management templates, including different types of project schedules, Gantt charts, tasks lists, etc.</t>
  </si>
  <si>
    <t xml:space="preserve">Project Management Templates</t>
  </si>
  <si>
    <t xml:space="preserve">About Vertex42</t>
  </si>
  <si>
    <t xml:space="preserve">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</si>
  <si>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 xml:space="preserve">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</si>
</sst>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0" formatCode="_(* #,##0.00_);_(* \(#,##0.00\);_(* &quot;-&quot;??_);_(@_)"/>
    <numFmt numFmtId="161" formatCode="m/d/yy;@"/>
    <numFmt numFmtId="162" formatCode="ddd\,\ m/d/yyyy"/>
    <numFmt numFmtId="163" formatCode="mmm\ d\,\ yyyy"/>
    <numFmt numFmtId="164" formatCode="d"/>
  </numFmts>
  <fonts count="22">
    <font>
      <name val="Calibri"/>
      <color theme="1"/>
      <sz val="11.000000"/>
      <scheme val="minor"/>
    </font>
    <font>
      <name val="Calibri"/>
      <color theme="1"/>
      <sz val="14.000000"/>
      <scheme val="minor"/>
    </font>
    <font>
      <name val="Arial"/>
      <color indexed="4"/>
      <sz val="11.000000"/>
      <u/>
    </font>
    <font>
      <name val="Calibri"/>
      <b/>
      <color theme="1" tint="0.34998626667073579"/>
      <sz val="22.000000"/>
      <scheme val="major"/>
    </font>
    <font>
      <name val="Calibri"/>
      <color theme="0"/>
      <sz val="11.000000"/>
      <scheme val="minor"/>
    </font>
    <font>
      <name val="Calibri"/>
      <b/>
      <color theme="4" tint="-0.249977111117893"/>
      <sz val="20.000000"/>
      <scheme val="major"/>
    </font>
    <font>
      <name val="Calibri"/>
      <sz val="10.000000"/>
      <scheme val="minor"/>
    </font>
    <font>
      <name val="Calibri"/>
      <b/>
      <color theme="1" tint="0.499984740745262"/>
      <sz val="11.000000"/>
      <scheme val="minor"/>
    </font>
    <font>
      <name val="Arial"/>
      <color theme="1" tint="0.499984740745262"/>
      <sz val="10.000000"/>
    </font>
    <font>
      <name val="Calibri"/>
      <sz val="9.000000"/>
      <scheme val="minor"/>
    </font>
    <font>
      <name val="Calibri"/>
      <b/>
      <color theme="0"/>
      <sz val="9.000000"/>
      <scheme val="minor"/>
    </font>
    <font>
      <name val="Calibri"/>
      <color theme="0"/>
      <sz val="8.000000"/>
      <scheme val="minor"/>
    </font>
    <font>
      <name val="Calibri"/>
      <b/>
      <color theme="1"/>
      <sz val="11.000000"/>
      <scheme val="minor"/>
    </font>
    <font>
      <name val="Calibri"/>
      <sz val="11.000000"/>
      <scheme val="minor"/>
    </font>
    <font>
      <name val="Calibri"/>
      <i/>
      <color theme="1"/>
      <sz val="9.000000"/>
      <scheme val="minor"/>
    </font>
    <font>
      <name val="Calibri"/>
      <color theme="1" tint="0.499984740745262"/>
      <sz val="10.000000"/>
      <scheme val="minor"/>
    </font>
    <font>
      <name val="Calibri"/>
      <b/>
      <sz val="10.000000"/>
      <scheme val="minor"/>
    </font>
    <font>
      <name val="Calibri"/>
      <b/>
      <color theme="1" tint="0.34998626667073579"/>
      <sz val="12.000000"/>
      <scheme val="minor"/>
    </font>
    <font>
      <name val="Calibri"/>
      <color theme="1" tint="0.499984740745262"/>
      <sz val="11.000000"/>
      <scheme val="minor"/>
    </font>
    <font>
      <name val="Calibri"/>
      <sz val="20.000000"/>
      <scheme val="major"/>
    </font>
    <font>
      <name val="Calibri"/>
      <b/>
      <color theme="4" tint="-0.249977111117893"/>
      <sz val="16.000000"/>
      <scheme val="major"/>
    </font>
    <font>
      <name val="Calibri"/>
      <color rgb="FF1D2129"/>
      <sz val="11.000000"/>
      <scheme val="minor"/>
    </font>
  </fonts>
  <fills count="15">
    <fill>
      <patternFill patternType="none"/>
    </fill>
    <fill>
      <patternFill patternType="gray125"/>
    </fill>
    <fill>
      <patternFill patternType="solid">
        <fgColor theme="0" tint="-0.14999847407452621"/>
        <bgColor theme="0" tint="-0.14999847407452621"/>
      </patternFill>
    </fill>
    <fill>
      <patternFill patternType="solid">
        <fgColor theme="1" tint="0.34998626667073579"/>
        <bgColor theme="4"/>
      </patternFill>
    </fill>
    <fill>
      <patternFill patternType="solid">
        <fgColor theme="1" tint="0.34998626667073579"/>
        <bgColor theme="1" tint="0.34998626667073579"/>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0" tint="0"/>
        <bgColor theme="0" tint="0"/>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59999389629810485"/>
        <bgColor theme="7" tint="0.59999389629810485"/>
      </patternFill>
    </fill>
    <fill>
      <patternFill patternType="solid">
        <fgColor theme="7" tint="0.79998168889431442"/>
        <bgColor theme="7" tint="0.79998168889431442"/>
      </patternFill>
    </fill>
    <fill>
      <patternFill patternType="solid">
        <fgColor theme="0" tint="-0.049989318521683403"/>
        <bgColor theme="0" tint="-0.049989318521683403"/>
      </patternFill>
    </fill>
  </fills>
  <borders count="1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
        <color theme="0" tint="-0.14996795556505021"/>
      </top>
      <bottom style="medium">
        <color theme="0" tint="-0.14996795556505021"/>
      </bottom>
      <diagonal/>
    </border>
    <border>
      <left/>
      <right style="thin">
        <color theme="0" tint="-0.34998626667073579"/>
      </right>
      <top/>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right/>
      <top/>
      <bottom style="thin">
        <color theme="0" tint="-0.34998626667073579"/>
      </bottom>
      <diagonal/>
    </border>
    <border>
      <left style="thin">
        <color theme="0" tint="-0.34998626667073579"/>
      </left>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s>
  <cellStyleXfs count="13">
    <xf fontId="0" fillId="0" borderId="0" numFmtId="0" applyNumberFormat="1" applyFont="1" applyFill="1" applyBorder="1"/>
    <xf fontId="0" fillId="0" borderId="1" numFmtId="160" applyNumberFormat="1" applyFont="0" applyFill="0" applyBorder="1"/>
    <xf fontId="0" fillId="0" borderId="2" numFmtId="161" applyNumberFormat="1" applyFont="1" applyFill="0" applyBorder="1">
      <alignment horizontal="center" vertical="center"/>
    </xf>
    <xf fontId="1" fillId="0" borderId="0" numFmtId="0" applyNumberFormat="0" applyFont="1" applyFill="0" applyBorder="1"/>
    <xf fontId="1" fillId="0" borderId="0" numFmtId="0" applyNumberFormat="0" applyFont="1" applyFill="0" applyBorder="1">
      <alignment vertical="top"/>
    </xf>
    <xf fontId="0" fillId="0" borderId="0" numFmtId="0" applyNumberFormat="0" applyFont="1" applyFill="0" applyBorder="1">
      <alignment horizontal="right" indent="1"/>
    </xf>
    <xf fontId="2" fillId="0" borderId="0" numFmtId="0" applyNumberFormat="0" applyFont="1" applyFill="0" applyBorder="0">
      <alignment vertical="top"/>
    </xf>
    <xf fontId="0" fillId="0" borderId="2" numFmtId="0" applyNumberFormat="1" applyFont="1" applyFill="0" applyBorder="1">
      <alignment horizontal="center" vertical="center"/>
    </xf>
    <xf fontId="0" fillId="0" borderId="0" numFmtId="9" applyNumberFormat="1" applyFont="0" applyFill="0" applyBorder="0"/>
    <xf fontId="0" fillId="0" borderId="1" numFmtId="162" applyNumberFormat="1" applyFont="1" applyFill="1" applyBorder="1">
      <alignment horizontal="center" vertical="center"/>
    </xf>
    <xf fontId="0" fillId="0" borderId="2" numFmtId="0" applyNumberFormat="1" applyFont="1" applyFill="0" applyBorder="1">
      <alignment horizontal="left" indent="2" vertical="center"/>
    </xf>
    <xf fontId="3" fillId="0" borderId="0" numFmtId="0" applyNumberFormat="0" applyFont="1" applyFill="0" applyBorder="0"/>
    <xf fontId="4" fillId="0" borderId="0" numFmtId="0" applyNumberFormat="1" applyFont="1" applyFill="1" applyBorder="1"/>
  </cellStyleXfs>
  <cellXfs count="94">
    <xf fontId="0" fillId="0" borderId="0" numFmtId="0" xfId="0"/>
    <xf fontId="4" fillId="0" borderId="0" numFmtId="0" xfId="12" applyFont="1"/>
    <xf fontId="0" fillId="0" borderId="0" numFmtId="0" xfId="0" applyAlignment="1">
      <alignment horizontal="center"/>
    </xf>
    <xf fontId="4" fillId="0" borderId="0" numFmtId="0" xfId="12" applyFont="1" applyAlignment="1">
      <alignment wrapText="1"/>
    </xf>
    <xf fontId="3" fillId="0" borderId="0" numFmtId="0" xfId="11" applyFont="1" applyAlignment="1">
      <alignment horizontal="left"/>
    </xf>
    <xf fontId="5" fillId="0" borderId="0" numFmtId="0" xfId="0" applyFont="1" applyAlignment="1">
      <alignment horizontal="left"/>
    </xf>
    <xf fontId="6" fillId="0" borderId="0" numFmtId="0" xfId="0" applyFont="1"/>
    <xf fontId="6" fillId="0" borderId="0" numFmtId="0" xfId="0" applyFont="1" applyAlignment="1">
      <alignment horizontal="center"/>
    </xf>
    <xf fontId="6" fillId="0" borderId="0" numFmtId="0" xfId="0" applyFont="1" applyAlignment="1">
      <alignment horizontal="center" vertical="center"/>
    </xf>
    <xf fontId="7" fillId="0" borderId="0" numFmtId="0" xfId="0" applyFont="1"/>
    <xf fontId="1" fillId="0" borderId="0" numFmtId="0" xfId="3" applyFont="1"/>
    <xf fontId="8" fillId="0" borderId="0" numFmtId="0" xfId="6" applyFont="1" applyAlignment="1">
      <alignment vertical="top"/>
    </xf>
    <xf fontId="1" fillId="0" borderId="0" numFmtId="0" xfId="4" applyFont="1" applyAlignment="1">
      <alignment vertical="top"/>
    </xf>
    <xf fontId="0" fillId="0" borderId="0" numFmtId="0" xfId="5" applyAlignment="1">
      <alignment horizontal="right" indent="1"/>
    </xf>
    <xf fontId="0" fillId="0" borderId="3" numFmtId="0" xfId="5" applyBorder="1" applyAlignment="1">
      <alignment horizontal="right" indent="1"/>
    </xf>
    <xf fontId="0" fillId="0" borderId="1" numFmtId="162" xfId="9" applyNumberFormat="1" applyBorder="1" applyAlignment="1">
      <alignment horizontal="center" vertical="center"/>
    </xf>
    <xf fontId="0" fillId="0" borderId="0" numFmtId="0" xfId="0" applyAlignment="1">
      <alignment horizontal="left" vertical="top"/>
    </xf>
    <xf fontId="0" fillId="0" borderId="1" numFmtId="0" xfId="0" applyBorder="1" applyAlignment="1">
      <alignment horizontal="center" vertical="center"/>
    </xf>
    <xf fontId="0" fillId="2" borderId="4" numFmtId="163" xfId="0" applyNumberFormat="1" applyFill="1" applyBorder="1" applyAlignment="1">
      <alignment horizontal="left" indent="1" vertical="center" wrapText="1"/>
    </xf>
    <xf fontId="0" fillId="2" borderId="5" numFmtId="163" xfId="0" applyNumberFormat="1" applyFill="1" applyBorder="1" applyAlignment="1">
      <alignment horizontal="left" indent="1" vertical="center" wrapText="1"/>
    </xf>
    <xf fontId="0" fillId="2" borderId="6" numFmtId="163" xfId="0" applyNumberFormat="1" applyFill="1" applyBorder="1" applyAlignment="1">
      <alignment horizontal="left" indent="1" vertical="center" wrapText="1"/>
    </xf>
    <xf fontId="0" fillId="0" borderId="7" numFmtId="0" xfId="0" applyBorder="1"/>
    <xf fontId="9" fillId="2" borderId="8" numFmtId="164" xfId="0" applyNumberFormat="1" applyFont="1" applyFill="1" applyBorder="1" applyAlignment="1">
      <alignment horizontal="center" vertical="center"/>
    </xf>
    <xf fontId="9" fillId="2" borderId="0" numFmtId="164" xfId="0" applyNumberFormat="1" applyFont="1" applyFill="1" applyAlignment="1">
      <alignment horizontal="center" vertical="center"/>
    </xf>
    <xf fontId="9" fillId="2" borderId="3" numFmtId="164" xfId="0" applyNumberFormat="1" applyFont="1" applyFill="1" applyBorder="1" applyAlignment="1">
      <alignment horizontal="center" vertical="center"/>
    </xf>
    <xf fontId="10" fillId="3" borderId="5" numFmtId="0" xfId="0" applyFont="1" applyFill="1" applyBorder="1" applyAlignment="1">
      <alignment horizontal="left" indent="1" vertical="center"/>
    </xf>
    <xf fontId="10" fillId="3" borderId="5" numFmtId="0" xfId="0" applyFont="1" applyFill="1" applyBorder="1" applyAlignment="1">
      <alignment horizontal="center" vertical="center" wrapText="1"/>
    </xf>
    <xf fontId="11" fillId="4" borderId="9" numFmtId="0" xfId="0" applyFont="1" applyFill="1" applyBorder="1" applyAlignment="1">
      <alignment horizontal="center" shrinkToFit="1" vertical="center"/>
    </xf>
    <xf fontId="0" fillId="0" borderId="0" numFmtId="0" xfId="0" applyAlignment="1">
      <alignment wrapText="1"/>
    </xf>
    <xf fontId="0" fillId="0" borderId="10" numFmtId="0" xfId="0" applyBorder="1" applyAlignment="1">
      <alignment vertical="center"/>
    </xf>
    <xf fontId="0" fillId="0" borderId="0" numFmtId="0" xfId="0" applyAlignment="1">
      <alignment vertical="center"/>
    </xf>
    <xf fontId="12" fillId="5" borderId="2" numFmtId="0" xfId="0" applyFont="1" applyFill="1" applyBorder="1" applyAlignment="1">
      <alignment horizontal="left" indent="1" vertical="center"/>
    </xf>
    <xf fontId="0" fillId="5" borderId="2" numFmtId="0" xfId="7" applyFill="1" applyBorder="1" applyAlignment="1">
      <alignment horizontal="center" vertical="center"/>
    </xf>
    <xf fontId="13" fillId="5" borderId="2" numFmtId="9" xfId="8" applyNumberFormat="1" applyFont="1" applyFill="1" applyBorder="1" applyAlignment="1">
      <alignment horizontal="center" vertical="center"/>
    </xf>
    <xf fontId="0" fillId="5" borderId="2" numFmtId="161" xfId="0" applyNumberFormat="1" applyFill="1" applyBorder="1" applyAlignment="1">
      <alignment horizontal="center" vertical="center"/>
    </xf>
    <xf fontId="13" fillId="5" borderId="2" numFmtId="161" xfId="0" applyNumberFormat="1" applyFont="1" applyFill="1" applyBorder="1" applyAlignment="1">
      <alignment horizontal="center" vertical="center"/>
    </xf>
    <xf fontId="13" fillId="0" borderId="2" numFmtId="0" xfId="0" applyFont="1" applyBorder="1" applyAlignment="1">
      <alignment horizontal="center" vertical="center"/>
    </xf>
    <xf fontId="0" fillId="6" borderId="2" numFmtId="0" xfId="10" applyFill="1" applyBorder="1" applyAlignment="1">
      <alignment horizontal="left" indent="2" vertical="center"/>
    </xf>
    <xf fontId="0" fillId="6" borderId="2" numFmtId="0" xfId="7" applyFill="1" applyBorder="1" applyAlignment="1">
      <alignment horizontal="center" vertical="center"/>
    </xf>
    <xf fontId="13" fillId="6" borderId="2" numFmtId="9" xfId="8" applyNumberFormat="1" applyFont="1" applyFill="1" applyBorder="1" applyAlignment="1">
      <alignment horizontal="center" vertical="center"/>
    </xf>
    <xf fontId="0" fillId="6" borderId="2" numFmtId="161" xfId="2" applyNumberFormat="1" applyFill="1" applyBorder="1" applyAlignment="1">
      <alignment horizontal="center" vertical="center"/>
    </xf>
    <xf fontId="0" fillId="0" borderId="10" numFmtId="0" xfId="0" applyBorder="1" applyAlignment="1">
      <alignment horizontal="right" vertical="center"/>
    </xf>
    <xf fontId="0" fillId="7" borderId="10" numFmtId="0" xfId="0" applyFill="1" applyBorder="1" applyAlignment="1">
      <alignment vertical="center"/>
    </xf>
    <xf fontId="12" fillId="8" borderId="2" numFmtId="0" xfId="0" applyFont="1" applyFill="1" applyBorder="1" applyAlignment="1">
      <alignment horizontal="left" indent="1" vertical="center"/>
    </xf>
    <xf fontId="0" fillId="8" borderId="2" numFmtId="0" xfId="7" applyFill="1" applyBorder="1" applyAlignment="1">
      <alignment horizontal="center" vertical="center"/>
    </xf>
    <xf fontId="13" fillId="8" borderId="2" numFmtId="9" xfId="8" applyNumberFormat="1" applyFont="1" applyFill="1" applyBorder="1" applyAlignment="1">
      <alignment horizontal="center" vertical="center"/>
    </xf>
    <xf fontId="0" fillId="8" borderId="2" numFmtId="161" xfId="0" applyNumberFormat="1" applyFill="1" applyBorder="1" applyAlignment="1">
      <alignment horizontal="center" vertical="center"/>
    </xf>
    <xf fontId="13" fillId="8" borderId="2" numFmtId="161" xfId="0" applyNumberFormat="1" applyFont="1" applyFill="1" applyBorder="1" applyAlignment="1">
      <alignment horizontal="center" vertical="center"/>
    </xf>
    <xf fontId="0" fillId="9" borderId="2" numFmtId="0" xfId="10" applyFill="1" applyBorder="1" applyAlignment="1">
      <alignment horizontal="left" indent="2" vertical="center"/>
    </xf>
    <xf fontId="0" fillId="9" borderId="2" numFmtId="0" xfId="7" applyFill="1" applyBorder="1" applyAlignment="1">
      <alignment horizontal="center" vertical="center"/>
    </xf>
    <xf fontId="13" fillId="9" borderId="2" numFmtId="9" xfId="8" applyNumberFormat="1" applyFont="1" applyFill="1" applyBorder="1" applyAlignment="1">
      <alignment horizontal="center" vertical="center"/>
    </xf>
    <xf fontId="0" fillId="9" borderId="2" numFmtId="161" xfId="2" applyNumberFormat="1" applyFill="1" applyBorder="1" applyAlignment="1">
      <alignment horizontal="center" vertical="center"/>
    </xf>
    <xf fontId="12" fillId="10" borderId="2" numFmtId="0" xfId="0" applyFont="1" applyFill="1" applyBorder="1" applyAlignment="1">
      <alignment horizontal="left" indent="1" vertical="center"/>
    </xf>
    <xf fontId="0" fillId="10" borderId="2" numFmtId="0" xfId="7" applyFill="1" applyBorder="1" applyAlignment="1">
      <alignment horizontal="center" vertical="center"/>
    </xf>
    <xf fontId="13" fillId="10" borderId="2" numFmtId="9" xfId="8" applyNumberFormat="1" applyFont="1" applyFill="1" applyBorder="1" applyAlignment="1">
      <alignment horizontal="center" vertical="center"/>
    </xf>
    <xf fontId="0" fillId="10" borderId="2" numFmtId="161" xfId="0" applyNumberFormat="1" applyFill="1" applyBorder="1" applyAlignment="1">
      <alignment horizontal="center" vertical="center"/>
    </xf>
    <xf fontId="13" fillId="10" borderId="2" numFmtId="161" xfId="0" applyNumberFormat="1" applyFont="1" applyFill="1" applyBorder="1" applyAlignment="1">
      <alignment horizontal="center" vertical="center"/>
    </xf>
    <xf fontId="0" fillId="11" borderId="2" numFmtId="0" xfId="10" applyFill="1" applyBorder="1" applyAlignment="1">
      <alignment horizontal="left" indent="2" vertical="center"/>
    </xf>
    <xf fontId="0" fillId="11" borderId="2" numFmtId="0" xfId="7" applyFill="1" applyBorder="1" applyAlignment="1">
      <alignment horizontal="center" vertical="center"/>
    </xf>
    <xf fontId="13" fillId="11" borderId="2" numFmtId="9" xfId="8" applyNumberFormat="1" applyFont="1" applyFill="1" applyBorder="1" applyAlignment="1">
      <alignment horizontal="center" vertical="center"/>
    </xf>
    <xf fontId="0" fillId="11" borderId="2" numFmtId="161" xfId="2" applyNumberFormat="1" applyFill="1" applyBorder="1" applyAlignment="1">
      <alignment horizontal="center" vertical="center"/>
    </xf>
    <xf fontId="12" fillId="12" borderId="2" numFmtId="0" xfId="0" applyFont="1" applyFill="1" applyBorder="1" applyAlignment="1">
      <alignment horizontal="left" indent="1" vertical="center"/>
    </xf>
    <xf fontId="0" fillId="12" borderId="2" numFmtId="0" xfId="7" applyFill="1" applyBorder="1" applyAlignment="1">
      <alignment horizontal="center" vertical="center"/>
    </xf>
    <xf fontId="13" fillId="12" borderId="2" numFmtId="9" xfId="8" applyNumberFormat="1" applyFont="1" applyFill="1" applyBorder="1" applyAlignment="1">
      <alignment horizontal="center" vertical="center"/>
    </xf>
    <xf fontId="0" fillId="12" borderId="2" numFmtId="161" xfId="0" applyNumberFormat="1" applyFill="1" applyBorder="1" applyAlignment="1">
      <alignment horizontal="center" vertical="center"/>
    </xf>
    <xf fontId="13" fillId="12" borderId="2" numFmtId="161" xfId="0" applyNumberFormat="1" applyFont="1" applyFill="1" applyBorder="1" applyAlignment="1">
      <alignment horizontal="center" vertical="center"/>
    </xf>
    <xf fontId="0" fillId="13" borderId="2" numFmtId="0" xfId="10" applyFill="1" applyBorder="1" applyAlignment="1">
      <alignment horizontal="left" indent="2" vertical="center"/>
    </xf>
    <xf fontId="0" fillId="13" borderId="2" numFmtId="0" xfId="7" applyFill="1" applyBorder="1" applyAlignment="1">
      <alignment horizontal="center" vertical="center"/>
    </xf>
    <xf fontId="13" fillId="13" borderId="2" numFmtId="9" xfId="8" applyNumberFormat="1" applyFont="1" applyFill="1" applyBorder="1" applyAlignment="1">
      <alignment horizontal="center" vertical="center"/>
    </xf>
    <xf fontId="0" fillId="13" borderId="2" numFmtId="161" xfId="2" applyNumberFormat="1" applyFill="1" applyBorder="1" applyAlignment="1">
      <alignment horizontal="center" vertical="center"/>
    </xf>
    <xf fontId="0" fillId="0" borderId="2" numFmtId="0" xfId="10" applyBorder="1" applyAlignment="1">
      <alignment horizontal="left" indent="2" vertical="center"/>
    </xf>
    <xf fontId="0" fillId="0" borderId="2" numFmtId="0" xfId="7" applyBorder="1" applyAlignment="1">
      <alignment horizontal="center" vertical="center"/>
    </xf>
    <xf fontId="13" fillId="0" borderId="2" numFmtId="9" xfId="8" applyNumberFormat="1" applyFont="1" applyBorder="1" applyAlignment="1">
      <alignment horizontal="center" vertical="center"/>
    </xf>
    <xf fontId="0" fillId="0" borderId="2" numFmtId="161" xfId="2" applyNumberFormat="1" applyBorder="1" applyAlignment="1">
      <alignment horizontal="center" vertical="center"/>
    </xf>
    <xf fontId="14" fillId="14" borderId="2" numFmtId="0" xfId="0" applyFont="1" applyFill="1" applyBorder="1" applyAlignment="1">
      <alignment horizontal="left" indent="1" vertical="center"/>
    </xf>
    <xf fontId="14" fillId="14" borderId="2" numFmtId="0" xfId="0" applyFont="1" applyFill="1" applyBorder="1" applyAlignment="1">
      <alignment horizontal="center" vertical="center"/>
    </xf>
    <xf fontId="13" fillId="14" borderId="2" numFmtId="9" xfId="8" applyNumberFormat="1" applyFont="1" applyFill="1" applyBorder="1" applyAlignment="1">
      <alignment horizontal="center" vertical="center"/>
    </xf>
    <xf fontId="15" fillId="14" borderId="2" numFmtId="161" xfId="0" applyNumberFormat="1" applyFont="1" applyFill="1" applyBorder="1" applyAlignment="1">
      <alignment horizontal="left" vertical="center"/>
    </xf>
    <xf fontId="13" fillId="14" borderId="2" numFmtId="161" xfId="0" applyNumberFormat="1" applyFont="1" applyFill="1" applyBorder="1" applyAlignment="1">
      <alignment horizontal="center" vertical="center"/>
    </xf>
    <xf fontId="13" fillId="14" borderId="2" numFmtId="0" xfId="0" applyFont="1" applyFill="1" applyBorder="1" applyAlignment="1">
      <alignment horizontal="center" vertical="center"/>
    </xf>
    <xf fontId="0" fillId="14" borderId="10" numFmtId="0" xfId="0" applyFill="1" applyBorder="1" applyAlignment="1">
      <alignment vertical="center"/>
    </xf>
    <xf fontId="0" fillId="0" borderId="0" numFmtId="0" xfId="0" applyAlignment="1">
      <alignment horizontal="right" vertical="center"/>
    </xf>
    <xf fontId="4" fillId="0" borderId="0" numFmtId="0" xfId="0" applyFont="1" applyAlignment="1">
      <alignment horizontal="center"/>
    </xf>
    <xf fontId="8" fillId="0" borderId="0" numFmtId="0" xfId="6" applyFont="1"/>
    <xf fontId="6" fillId="0" borderId="0" numFmtId="0" xfId="0" applyFont="1" applyAlignment="1">
      <alignment vertical="top"/>
    </xf>
    <xf fontId="16" fillId="0" borderId="0" numFmtId="0" xfId="0" applyFont="1" applyAlignment="1">
      <alignment horizontal="left" vertical="center"/>
    </xf>
    <xf fontId="17" fillId="0" borderId="0" numFmtId="0" xfId="0" applyFont="1" applyAlignment="1">
      <alignment horizontal="left" vertical="center"/>
    </xf>
    <xf fontId="6" fillId="0" borderId="0" numFmtId="0" xfId="0" applyFont="1" applyAlignment="1">
      <alignment horizontal="left" vertical="top"/>
    </xf>
    <xf fontId="18" fillId="0" borderId="0" numFmtId="0" xfId="0" applyFont="1" applyAlignment="1">
      <alignment vertical="top"/>
    </xf>
    <xf fontId="19" fillId="0" borderId="0" numFmtId="0" xfId="0" applyFont="1"/>
    <xf fontId="20" fillId="0" borderId="0" numFmtId="0" xfId="0" applyFont="1" applyAlignment="1">
      <alignment vertical="center"/>
    </xf>
    <xf fontId="21" fillId="0" borderId="0" numFmtId="0" xfId="0" applyFont="1" applyAlignment="1">
      <alignment horizontal="left" indent="1" vertical="top" wrapText="1"/>
    </xf>
    <xf fontId="0" fillId="0" borderId="0" numFmtId="0" xfId="0" applyAlignment="1">
      <alignment vertical="top" wrapText="1"/>
    </xf>
    <xf fontId="2" fillId="0" borderId="0" numFmtId="0" xfId="6" applyFont="1" applyAlignment="1">
      <alignment horizontal="left" vertical="top"/>
    </xf>
  </cellXfs>
  <cellStyles count="13">
    <cellStyle name="Comma" xfId="1" builtinId="3"/>
    <cellStyle name="Date" xfId="2"/>
    <cellStyle name="Heading 1" xfId="3" builtinId="16"/>
    <cellStyle name="Heading 2" xfId="4" builtinId="17"/>
    <cellStyle name="Heading 3" xfId="5" builtinId="18"/>
    <cellStyle name="Hyperlink" xfId="6" builtinId="8"/>
    <cellStyle name="Name" xfId="7"/>
    <cellStyle name="Normal" xfId="0" builtinId="0"/>
    <cellStyle name="Percent" xfId="8" builtinId="5"/>
    <cellStyle name="Project Start" xfId="9"/>
    <cellStyle name="Task" xfId="10"/>
    <cellStyle name="Title" xfId="11" builtinId="15"/>
    <cellStyle name="zHiddenText" xfId="12"/>
  </cellStyles>
  <dxfs count="9">
    <dxf>
      <font>
        <b val="0"/>
        <i val="0"/>
        <color theme="1"/>
      </font>
      <border>
        <left style="thin">
          <color theme="4"/>
        </left>
        <right style="none"/>
        <top style="none"/>
        <bottom style="none"/>
        <diagonal style="none"/>
        <vertical style="none"/>
        <horizontal style="none"/>
      </border>
    </dxf>
    <dxf>
      <border>
        <left style="thin">
          <color theme="0" tint="-0.24994659260841701"/>
        </left>
        <right style="none"/>
        <top style="none"/>
        <bottom style="none"/>
        <diagonal style="none"/>
        <vertical style="none"/>
        <horizontal style="none"/>
      </border>
    </dxf>
    <dxf>
      <fill>
        <patternFill patternType="solid">
          <fgColor theme="0" tint="-0.049989318521683403"/>
          <bgColor theme="0" tint="-0.049989318521683403"/>
        </patternFill>
      </fill>
      <border>
        <left style="none"/>
        <right style="none"/>
        <top style="thin">
          <color theme="4" tint="0.39994506668294322"/>
        </top>
        <bottom style="none"/>
        <diagonal style="none"/>
        <vertical style="none"/>
        <horizontal style="none"/>
      </border>
    </dxf>
    <dxf>
      <font>
        <b/>
        <color theme="0"/>
      </font>
      <fill>
        <patternFill patternType="solid">
          <fgColor theme="4"/>
          <bgColor theme="4"/>
        </patternFill>
      </fill>
    </dxf>
    <dxf>
      <font>
        <b/>
        <color theme="1"/>
      </font>
    </dxf>
    <dxf>
      <border>
        <left style="thin">
          <color theme="0" tint="-0.24994659260841701"/>
        </left>
        <right style="none"/>
        <top style="none"/>
        <bottom style="none"/>
        <diagonal style="none"/>
        <vertical style="none"/>
        <horizontal style="none"/>
      </border>
    </dxf>
    <dxf>
      <border>
        <left style="none"/>
        <right style="none"/>
        <top style="thin">
          <color theme="4" tint="0.39994506668294322"/>
        </top>
        <bottom style="none"/>
        <diagonal style="none"/>
        <vertical style="none"/>
        <horizontal style="none"/>
      </border>
    </dxf>
    <dxf>
      <font>
        <b/>
        <color theme="1"/>
      </font>
      <border>
        <left style="none"/>
        <right style="none"/>
        <top style="double">
          <color theme="4"/>
        </top>
        <bottom style="none"/>
        <diagonal style="none"/>
        <vertical style="none"/>
        <horizontal style="none"/>
      </border>
    </dxf>
    <dxf>
      <font>
        <color theme="1"/>
      </font>
      <border>
        <left style="thin">
          <color theme="4"/>
        </left>
        <right style="thin">
          <color theme="4"/>
        </right>
        <top style="thin">
          <color theme="4"/>
        </top>
        <bottom style="thin">
          <color theme="4"/>
        </bottom>
        <diagonal style="none"/>
        <vertical style="none"/>
        <horizontal style="none"/>
      </border>
    </dxf>
  </dxfs>
  <tableStyles count="1" defaultTableStyle="TableStyleMedium2" defaultPivotStyle="PivotStyleLight16">
    <tableStyle name="ToDoList" pivot="0" count="9">
      <tableStyleElement type="firstColumn" size="1" dxfId="0"/>
      <tableStyleElement type="firstColumnStripe" size="1" dxfId="1"/>
      <tableStyleElement type="firstRowStripe" size="1" dxfId="2"/>
      <tableStyleElement type="headerRow" size="1" dxfId="3"/>
      <tableStyleElement type="lastColumn" size="1" dxfId="4"/>
      <tableStyleElement type="secondColumnStripe" size="1" dxfId="5"/>
      <tableStyleElement type="secondRowStripe" size="1" dxfId="6"/>
      <tableStyleElement type="totalRow" size="1" dxfId="7"/>
      <tableStyleElement type="wholeTable" size="1" dxfId="8"/>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5" Type="http://schemas.openxmlformats.org/officeDocument/2006/relationships/styles" Target="styles.xml"/><Relationship  Id="rId4" Type="http://schemas.openxmlformats.org/officeDocument/2006/relationships/sharedStrings" Target="sharedString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drawings/_rels/drawing1.xml.rels><?xml version="1.0" encoding="UTF-8" standalone="yes"?><Relationships xmlns="http://schemas.openxmlformats.org/package/2006/relationships"><Relationship Id="rId1" Type="http://schemas.openxmlformats.org/officeDocument/2006/relationships/hyperlink" Target="https://www.vertex42.com/ExcelTemplates/simple-gantt-chart.html?utm_source=ms&amp;utm_medium=file&amp;utm_campaign=office&amp;utm_content=logo" TargetMode="External"/><Relationship Id="rId2"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m="http://schemas.openxmlformats.org/officeDocument/2006/math" xmlns:w="http://schemas.openxmlformats.org/wordprocessingml/2006/main">
  <xdr:twoCellAnchor editAs="oneCell">
    <xdr:from>
      <xdr:col>0</xdr:col>
      <xdr:colOff>0</xdr:colOff>
      <xdr:row>0</xdr:row>
      <xdr:rowOff>95250</xdr:rowOff>
    </xdr:from>
    <xdr:to>
      <xdr:col>0</xdr:col>
      <xdr:colOff>1905000</xdr:colOff>
      <xdr:row>0</xdr:row>
      <xdr:rowOff>523875</xdr:rowOff>
    </xdr:to>
    <xdr:pic>
      <xdr:nvPicPr>
        <xdr:cNvPr id="2" name="Picture 1" descr="Vertex42 logo" hidden="0">
          <a:hlinkClick r:id="rId1"/>
        </xdr:cNvPr>
        <xdr:cNvPicPr>
          <a:picLocks noChangeAspect="1"/>
        </xdr:cNvPicPr>
      </xdr:nvPicPr>
      <xdr:blipFill>
        <a:blip r:embed="rId2"/>
        <a:stretch/>
      </xdr:blipFill>
      <xdr:spPr bwMode="auto">
        <a:xfrm>
          <a:off x="190500" y="95250"/>
          <a:ext cx="1905000" cy="428625"/>
        </a:xfrm>
        <a:prstGeom prst="rect">
          <a:avLst/>
        </a:prstGeom>
      </xdr:spPr>
    </xdr:pic>
    <xdr:clientData/>
  </xdr:twoCellAnchor>
</xdr:wsDr>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Relationships xmlns="http://schemas.openxmlformats.org/package/2006/relationships"><Relationship  Id="rId5" Type="http://schemas.openxmlformats.org/officeDocument/2006/relationships/drawing" Target="../drawings/drawing1.xml"/><Relationship  Id="rId4" Type="http://schemas.openxmlformats.org/officeDocument/2006/relationships/hyperlink" Target="https://www.vertex42.com/ExcelTemplates/excel-project-management.html?utm_source=ms&amp;utm_medium=file&amp;utm_campaign=office&amp;utm_content=text" TargetMode="External"/><Relationship  Id="rId3" Type="http://schemas.openxmlformats.org/officeDocument/2006/relationships/hyperlink" Target="https://www.vertex42.com/ExcelTemplates/simple-gantt-chart.html?utm_source=ms&amp;utm_medium=file&amp;utm_campaign=office&amp;utm_content=help" TargetMode="External"/><Relationship  Id="rId2" Type="http://schemas.openxmlformats.org/officeDocument/2006/relationships/hyperlink" Target="https://www.vertex42.com/ExcelTemplates/simple-gantt-chart.html?utm_source=ms&amp;utm_medium=file&amp;utm_campaign=office&amp;utm_content=url" TargetMode="External"/><Relationship  Id="rId1"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codeName="Sheet1">
    <outlinePr applyStyles="0" showOutlineSymbols="1" summaryBelow="1" summaryRight="1"/>
    <pageSetUpPr autoPageBreaks="1" fitToPage="1"/>
  </sheetPr>
  <sheetViews>
    <sheetView showGridLines="0" workbookViewId="0" zoomScale="100">
      <pane activePane="bottomLeft" state="frozen" topLeftCell="A7" ySplit="6"/>
      <selection activeCell="A1" activeCellId="0" sqref="A1"/>
    </sheetView>
  </sheetViews>
  <sheetFormatPr customHeight="1" defaultRowHeight="30"/>
  <cols>
    <col customWidth="1" min="1" max="1" style="1" width="2.7109375"/>
    <col customWidth="1" min="2" max="2" width="31.90625"/>
    <col customWidth="1" min="3" max="3" width="8.18359375"/>
    <col customWidth="1" min="4" max="4" width="10.7109375"/>
    <col customWidth="1" min="5" max="5" style="2" width="10.42578125"/>
    <col customWidth="1" min="6" max="6" width="10.42578125"/>
    <col customWidth="1" min="7" max="7" width="2.7109375"/>
    <col customWidth="1" hidden="1" min="8" max="8" width="6.140625"/>
    <col customWidth="1" min="9" max="64" width="2.5703125"/>
    <col min="69" max="70" width="10.28515625"/>
  </cols>
  <sheetData>
    <row r="1" ht="30" customHeight="1">
      <c r="A1" s="3" t="s">
        <v>0</v>
      </c>
      <c r="B1" s="4" t="s">
        <v>1</v>
      </c>
      <c r="C1" s="5"/>
      <c r="D1" s="6"/>
      <c r="E1" s="7"/>
      <c r="F1" s="8"/>
      <c r="H1" s="6"/>
      <c r="I1" s="9"/>
    </row>
    <row r="2" ht="30" hidden="1" customHeight="1">
      <c r="A2" s="1" t="s">
        <v>2</v>
      </c>
      <c r="B2" s="10"/>
      <c r="I2" s="11"/>
    </row>
    <row r="3" ht="30" customHeight="1">
      <c r="A3" s="1" t="s">
        <v>3</v>
      </c>
      <c r="B3" s="12" t="s">
        <v>4</v>
      </c>
      <c r="C3" s="13" t="s">
        <v>5</v>
      </c>
      <c r="D3" s="14"/>
      <c r="E3" s="15">
        <f>DATE(2021,10,4)</f>
        <v>44473</v>
      </c>
      <c r="F3" s="15"/>
    </row>
    <row r="4" ht="30" customHeight="1">
      <c r="A4" s="3" t="s">
        <v>6</v>
      </c>
      <c r="B4" s="16" t="s">
        <v>7</v>
      </c>
      <c r="C4" s="13" t="s">
        <v>8</v>
      </c>
      <c r="D4" s="14"/>
      <c r="E4" s="17">
        <v>6</v>
      </c>
      <c r="I4" s="18">
        <f ca="1">I5</f>
        <v>44508</v>
      </c>
      <c r="J4" s="19"/>
      <c r="K4" s="19"/>
      <c r="L4" s="19"/>
      <c r="M4" s="19"/>
      <c r="N4" s="19"/>
      <c r="O4" s="20"/>
      <c r="P4" s="18">
        <f ca="1">P5</f>
        <v>44515</v>
      </c>
      <c r="Q4" s="19"/>
      <c r="R4" s="19"/>
      <c r="S4" s="19"/>
      <c r="T4" s="19"/>
      <c r="U4" s="19"/>
      <c r="V4" s="20"/>
      <c r="W4" s="18">
        <f ca="1">W5</f>
        <v>44522</v>
      </c>
      <c r="X4" s="19"/>
      <c r="Y4" s="19"/>
      <c r="Z4" s="19"/>
      <c r="AA4" s="19"/>
      <c r="AB4" s="19"/>
      <c r="AC4" s="20"/>
      <c r="AD4" s="18">
        <f ca="1">AD5</f>
        <v>44529</v>
      </c>
      <c r="AE4" s="19"/>
      <c r="AF4" s="19"/>
      <c r="AG4" s="19"/>
      <c r="AH4" s="19"/>
      <c r="AI4" s="19"/>
      <c r="AJ4" s="20"/>
      <c r="AK4" s="18">
        <f ca="1">AK5</f>
        <v>44536</v>
      </c>
      <c r="AL4" s="19"/>
      <c r="AM4" s="19"/>
      <c r="AN4" s="19"/>
      <c r="AO4" s="19"/>
      <c r="AP4" s="19"/>
      <c r="AQ4" s="20"/>
      <c r="AR4" s="18">
        <f ca="1">AR5</f>
        <v>44543</v>
      </c>
      <c r="AS4" s="19"/>
      <c r="AT4" s="19"/>
      <c r="AU4" s="19"/>
      <c r="AV4" s="19"/>
      <c r="AW4" s="19"/>
      <c r="AX4" s="20"/>
      <c r="AY4" s="18">
        <f ca="1">AY5</f>
        <v>44550</v>
      </c>
      <c r="AZ4" s="19"/>
      <c r="BA4" s="19"/>
      <c r="BB4" s="19"/>
      <c r="BC4" s="19"/>
      <c r="BD4" s="19"/>
      <c r="BE4" s="20"/>
      <c r="BF4" s="18">
        <f ca="1">BF5</f>
        <v>44557</v>
      </c>
      <c r="BG4" s="19"/>
      <c r="BH4" s="19"/>
      <c r="BI4" s="19"/>
      <c r="BJ4" s="19"/>
      <c r="BK4" s="19"/>
      <c r="BL4" s="20"/>
    </row>
    <row r="5" ht="15" customHeight="1">
      <c r="A5" s="3" t="s">
        <v>9</v>
      </c>
      <c r="B5" s="21"/>
      <c r="C5" s="21"/>
      <c r="D5" s="21"/>
      <c r="E5" s="21"/>
      <c r="F5" s="21"/>
      <c r="G5" s="21"/>
      <c r="I5" s="22">
        <f ca="1">Project_Start-WEEKDAY(Project_Start,1)+2+7*(Display_Week-1)</f>
        <v>44508</v>
      </c>
      <c r="J5" s="23">
        <f ca="1">I5+1</f>
        <v>44509</v>
      </c>
      <c r="K5" s="23">
        <f t="shared" ref="K5:AX5" ca="1" si="0">J5+1</f>
        <v>44510</v>
      </c>
      <c r="L5" s="23">
        <f t="shared" ca="1" si="0"/>
        <v>44511</v>
      </c>
      <c r="M5" s="23">
        <f t="shared" ca="1" si="0"/>
        <v>44512</v>
      </c>
      <c r="N5" s="23">
        <f t="shared" ca="1" si="0"/>
        <v>44513</v>
      </c>
      <c r="O5" s="24">
        <f t="shared" ca="1" si="0"/>
        <v>44514</v>
      </c>
      <c r="P5" s="22">
        <f ca="1">O5+1</f>
        <v>44515</v>
      </c>
      <c r="Q5" s="23">
        <f ca="1">P5+1</f>
        <v>44516</v>
      </c>
      <c r="R5" s="23">
        <f t="shared" ca="1" si="0"/>
        <v>44517</v>
      </c>
      <c r="S5" s="23">
        <f t="shared" ca="1" si="0"/>
        <v>44518</v>
      </c>
      <c r="T5" s="23">
        <f t="shared" ca="1" si="0"/>
        <v>44519</v>
      </c>
      <c r="U5" s="23">
        <f t="shared" ca="1" si="0"/>
        <v>44520</v>
      </c>
      <c r="V5" s="24">
        <f t="shared" ca="1" si="0"/>
        <v>44521</v>
      </c>
      <c r="W5" s="22">
        <f ca="1">V5+1</f>
        <v>44522</v>
      </c>
      <c r="X5" s="23">
        <f ca="1">W5+1</f>
        <v>44523</v>
      </c>
      <c r="Y5" s="23">
        <f t="shared" ca="1" si="0"/>
        <v>44524</v>
      </c>
      <c r="Z5" s="23">
        <f t="shared" ca="1" si="0"/>
        <v>44525</v>
      </c>
      <c r="AA5" s="23">
        <f t="shared" ca="1" si="0"/>
        <v>44526</v>
      </c>
      <c r="AB5" s="23">
        <f t="shared" ca="1" si="0"/>
        <v>44527</v>
      </c>
      <c r="AC5" s="24">
        <f t="shared" ca="1" si="0"/>
        <v>44528</v>
      </c>
      <c r="AD5" s="22">
        <f ca="1">AC5+1</f>
        <v>44529</v>
      </c>
      <c r="AE5" s="23">
        <f ca="1">AD5+1</f>
        <v>44530</v>
      </c>
      <c r="AF5" s="23">
        <f t="shared" ca="1" si="0"/>
        <v>44531</v>
      </c>
      <c r="AG5" s="23">
        <f t="shared" ca="1" si="0"/>
        <v>44532</v>
      </c>
      <c r="AH5" s="23">
        <f t="shared" ca="1" si="0"/>
        <v>44533</v>
      </c>
      <c r="AI5" s="23">
        <f t="shared" ca="1" si="0"/>
        <v>44534</v>
      </c>
      <c r="AJ5" s="24">
        <f t="shared" ca="1" si="0"/>
        <v>44535</v>
      </c>
      <c r="AK5" s="22">
        <f ca="1">AJ5+1</f>
        <v>44536</v>
      </c>
      <c r="AL5" s="23">
        <f ca="1">AK5+1</f>
        <v>44537</v>
      </c>
      <c r="AM5" s="23">
        <f t="shared" ca="1" si="0"/>
        <v>44538</v>
      </c>
      <c r="AN5" s="23">
        <f t="shared" ca="1" si="0"/>
        <v>44539</v>
      </c>
      <c r="AO5" s="23">
        <f t="shared" ca="1" si="0"/>
        <v>44540</v>
      </c>
      <c r="AP5" s="23">
        <f t="shared" ca="1" si="0"/>
        <v>44541</v>
      </c>
      <c r="AQ5" s="24">
        <f t="shared" ca="1" si="0"/>
        <v>44542</v>
      </c>
      <c r="AR5" s="22">
        <f ca="1">AQ5+1</f>
        <v>44543</v>
      </c>
      <c r="AS5" s="23">
        <f ca="1">AR5+1</f>
        <v>44544</v>
      </c>
      <c r="AT5" s="23">
        <f t="shared" ca="1" si="0"/>
        <v>44545</v>
      </c>
      <c r="AU5" s="23">
        <f t="shared" ca="1" si="0"/>
        <v>44546</v>
      </c>
      <c r="AV5" s="23">
        <f t="shared" ca="1" si="0"/>
        <v>44547</v>
      </c>
      <c r="AW5" s="23">
        <f t="shared" ca="1" si="0"/>
        <v>44548</v>
      </c>
      <c r="AX5" s="24">
        <f t="shared" ca="1" si="0"/>
        <v>44549</v>
      </c>
      <c r="AY5" s="22">
        <f ca="1">AX5+1</f>
        <v>44550</v>
      </c>
      <c r="AZ5" s="23">
        <f ca="1">AY5+1</f>
        <v>44551</v>
      </c>
      <c r="BA5" s="23">
        <f t="shared" ref="BA5:BE5" ca="1" si="1">AZ5+1</f>
        <v>44552</v>
      </c>
      <c r="BB5" s="23">
        <f t="shared" ca="1" si="1"/>
        <v>44553</v>
      </c>
      <c r="BC5" s="23">
        <f t="shared" ca="1" si="1"/>
        <v>44554</v>
      </c>
      <c r="BD5" s="23">
        <f t="shared" ca="1" si="1"/>
        <v>44555</v>
      </c>
      <c r="BE5" s="24">
        <f t="shared" ca="1" si="1"/>
        <v>44556</v>
      </c>
      <c r="BF5" s="22">
        <f ca="1">BE5+1</f>
        <v>44557</v>
      </c>
      <c r="BG5" s="23">
        <f ca="1">BF5+1</f>
        <v>44558</v>
      </c>
      <c r="BH5" s="23">
        <f t="shared" ref="BH5:BL5" ca="1" si="2">BG5+1</f>
        <v>44559</v>
      </c>
      <c r="BI5" s="23">
        <f t="shared" ca="1" si="2"/>
        <v>44560</v>
      </c>
      <c r="BJ5" s="23">
        <f t="shared" ca="1" si="2"/>
        <v>44561</v>
      </c>
      <c r="BK5" s="23">
        <f t="shared" ca="1" si="2"/>
        <v>44562</v>
      </c>
      <c r="BL5" s="24">
        <f t="shared" ca="1" si="2"/>
        <v>44563</v>
      </c>
    </row>
    <row r="6" ht="30" customHeight="1">
      <c r="A6" s="3" t="s">
        <v>10</v>
      </c>
      <c r="B6" s="25" t="s">
        <v>11</v>
      </c>
      <c r="C6" s="26" t="s">
        <v>12</v>
      </c>
      <c r="D6" s="26" t="s">
        <v>13</v>
      </c>
      <c r="E6" s="26" t="s">
        <v>14</v>
      </c>
      <c r="F6" s="26" t="s">
        <v>15</v>
      </c>
      <c r="G6" s="26"/>
      <c r="H6" s="26" t="s">
        <v>16</v>
      </c>
      <c r="I6" s="27" t="str">
        <f ca="1">LEFT(TEXT(I5,"ddd"),1)</f>
        <v>M</v>
      </c>
      <c r="J6" s="27" t="str">
        <f t="shared" ref="J6:AR6" ca="1" si="3">LEFT(TEXT(J5,"ddd"),1)</f>
        <v>T</v>
      </c>
      <c r="K6" s="27" t="str">
        <f t="shared" ca="1" si="3"/>
        <v>W</v>
      </c>
      <c r="L6" s="27" t="str">
        <f t="shared" ca="1" si="3"/>
        <v>T</v>
      </c>
      <c r="M6" s="27" t="str">
        <f t="shared" ca="1" si="3"/>
        <v>F</v>
      </c>
      <c r="N6" s="27" t="str">
        <f t="shared" ca="1" si="3"/>
        <v>S</v>
      </c>
      <c r="O6" s="27" t="str">
        <f t="shared" ca="1" si="3"/>
        <v>S</v>
      </c>
      <c r="P6" s="27" t="str">
        <f t="shared" ca="1" si="3"/>
        <v>M</v>
      </c>
      <c r="Q6" s="27" t="str">
        <f t="shared" ca="1" si="3"/>
        <v>T</v>
      </c>
      <c r="R6" s="27" t="str">
        <f t="shared" ca="1" si="3"/>
        <v>W</v>
      </c>
      <c r="S6" s="27" t="str">
        <f t="shared" ca="1" si="3"/>
        <v>T</v>
      </c>
      <c r="T6" s="27" t="str">
        <f t="shared" ca="1" si="3"/>
        <v>F</v>
      </c>
      <c r="U6" s="27" t="str">
        <f t="shared" ca="1" si="3"/>
        <v>S</v>
      </c>
      <c r="V6" s="27" t="str">
        <f t="shared" ca="1" si="3"/>
        <v>S</v>
      </c>
      <c r="W6" s="27" t="str">
        <f t="shared" ca="1" si="3"/>
        <v>M</v>
      </c>
      <c r="X6" s="27" t="str">
        <f t="shared" ca="1" si="3"/>
        <v>T</v>
      </c>
      <c r="Y6" s="27" t="str">
        <f t="shared" ca="1" si="3"/>
        <v>W</v>
      </c>
      <c r="Z6" s="27" t="str">
        <f t="shared" ca="1" si="3"/>
        <v>T</v>
      </c>
      <c r="AA6" s="27" t="str">
        <f t="shared" ca="1" si="3"/>
        <v>F</v>
      </c>
      <c r="AB6" s="27" t="str">
        <f t="shared" ca="1" si="3"/>
        <v>S</v>
      </c>
      <c r="AC6" s="27" t="str">
        <f t="shared" ca="1" si="3"/>
        <v>S</v>
      </c>
      <c r="AD6" s="27" t="str">
        <f t="shared" ca="1" si="3"/>
        <v>M</v>
      </c>
      <c r="AE6" s="27" t="str">
        <f t="shared" ca="1" si="3"/>
        <v>T</v>
      </c>
      <c r="AF6" s="27" t="str">
        <f t="shared" ca="1" si="3"/>
        <v>W</v>
      </c>
      <c r="AG6" s="27" t="str">
        <f t="shared" ca="1" si="3"/>
        <v>T</v>
      </c>
      <c r="AH6" s="27" t="str">
        <f t="shared" ca="1" si="3"/>
        <v>F</v>
      </c>
      <c r="AI6" s="27" t="str">
        <f t="shared" ca="1" si="3"/>
        <v>S</v>
      </c>
      <c r="AJ6" s="27" t="str">
        <f t="shared" ca="1" si="3"/>
        <v>S</v>
      </c>
      <c r="AK6" s="27" t="str">
        <f t="shared" ca="1" si="3"/>
        <v>M</v>
      </c>
      <c r="AL6" s="27" t="str">
        <f t="shared" ca="1" si="3"/>
        <v>T</v>
      </c>
      <c r="AM6" s="27" t="str">
        <f t="shared" ca="1" si="3"/>
        <v>W</v>
      </c>
      <c r="AN6" s="27" t="str">
        <f t="shared" ca="1" si="3"/>
        <v>T</v>
      </c>
      <c r="AO6" s="27" t="str">
        <f t="shared" ca="1" si="3"/>
        <v>F</v>
      </c>
      <c r="AP6" s="27" t="str">
        <f t="shared" ca="1" si="3"/>
        <v>S</v>
      </c>
      <c r="AQ6" s="27" t="str">
        <f t="shared" ca="1" si="3"/>
        <v>S</v>
      </c>
      <c r="AR6" s="27" t="str">
        <f t="shared" ca="1" si="3"/>
        <v>M</v>
      </c>
      <c r="AS6" s="27" t="str">
        <f t="shared" ref="AS6:BL6" ca="1" si="4">LEFT(TEXT(AS5,"ddd"),1)</f>
        <v>T</v>
      </c>
      <c r="AT6" s="27" t="str">
        <f t="shared" ca="1" si="4"/>
        <v>W</v>
      </c>
      <c r="AU6" s="27" t="str">
        <f t="shared" ca="1" si="4"/>
        <v>T</v>
      </c>
      <c r="AV6" s="27" t="str">
        <f t="shared" ca="1" si="4"/>
        <v>F</v>
      </c>
      <c r="AW6" s="27" t="str">
        <f t="shared" ca="1" si="4"/>
        <v>S</v>
      </c>
      <c r="AX6" s="27" t="str">
        <f t="shared" ca="1" si="4"/>
        <v>S</v>
      </c>
      <c r="AY6" s="27" t="str">
        <f t="shared" ca="1" si="4"/>
        <v>M</v>
      </c>
      <c r="AZ6" s="27" t="str">
        <f t="shared" ca="1" si="4"/>
        <v>T</v>
      </c>
      <c r="BA6" s="27" t="str">
        <f t="shared" ca="1" si="4"/>
        <v>W</v>
      </c>
      <c r="BB6" s="27" t="str">
        <f t="shared" ca="1" si="4"/>
        <v>T</v>
      </c>
      <c r="BC6" s="27" t="str">
        <f t="shared" ca="1" si="4"/>
        <v>F</v>
      </c>
      <c r="BD6" s="27" t="str">
        <f t="shared" ca="1" si="4"/>
        <v>S</v>
      </c>
      <c r="BE6" s="27" t="str">
        <f t="shared" ca="1" si="4"/>
        <v>S</v>
      </c>
      <c r="BF6" s="27" t="str">
        <f t="shared" ca="1" si="4"/>
        <v>M</v>
      </c>
      <c r="BG6" s="27" t="str">
        <f t="shared" ca="1" si="4"/>
        <v>T</v>
      </c>
      <c r="BH6" s="27" t="str">
        <f t="shared" ca="1" si="4"/>
        <v>W</v>
      </c>
      <c r="BI6" s="27" t="str">
        <f t="shared" ca="1" si="4"/>
        <v>T</v>
      </c>
      <c r="BJ6" s="27" t="str">
        <f t="shared" ca="1" si="4"/>
        <v>F</v>
      </c>
      <c r="BK6" s="27" t="str">
        <f t="shared" ca="1" si="4"/>
        <v>S</v>
      </c>
      <c r="BL6" s="27" t="str">
        <f t="shared" ca="1" si="4"/>
        <v>S</v>
      </c>
    </row>
    <row r="7" ht="30" hidden="1" customHeight="1">
      <c r="A7" s="1" t="s">
        <v>17</v>
      </c>
      <c r="C7" s="28"/>
      <c r="H7" t="str">
        <f t="shared" ref="H7:H25" si="5">IF(OR(ISBLANK(task_start),ISBLANK(task_end)),"",task_end-task_start+1)</f>
        <v/>
      </c>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row>
    <row r="8" s="30" customFormat="1" ht="30" customHeight="1">
      <c r="A8" s="3" t="s">
        <v>18</v>
      </c>
      <c r="B8" s="31" t="s">
        <v>19</v>
      </c>
      <c r="C8" s="32"/>
      <c r="D8" s="33"/>
      <c r="E8" s="34"/>
      <c r="F8" s="35"/>
      <c r="G8" s="36"/>
      <c r="H8" s="36" t="str">
        <f t="shared" si="5"/>
        <v/>
      </c>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row>
    <row r="9" s="30" customFormat="1" ht="30" customHeight="1">
      <c r="A9" s="3" t="s">
        <v>20</v>
      </c>
      <c r="B9" s="37" t="s">
        <v>21</v>
      </c>
      <c r="C9" s="38"/>
      <c r="D9" s="39">
        <v>1</v>
      </c>
      <c r="E9" s="40">
        <f ca="1">Project_Start</f>
        <v>44473</v>
      </c>
      <c r="F9" s="40">
        <f ca="1">E9+3</f>
        <v>44476</v>
      </c>
      <c r="G9" s="36"/>
      <c r="H9" s="36">
        <f t="shared" si="5"/>
        <v>4</v>
      </c>
      <c r="I9" s="29"/>
      <c r="J9" s="29"/>
      <c r="K9" s="29"/>
      <c r="L9" s="29"/>
      <c r="M9" s="29"/>
      <c r="N9" s="29"/>
      <c r="O9" s="29"/>
      <c r="P9" s="29"/>
      <c r="Q9" s="29"/>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row>
    <row r="10" s="30" customFormat="1" ht="30" customHeight="1">
      <c r="A10" s="3" t="s">
        <v>22</v>
      </c>
      <c r="B10" s="37" t="s">
        <v>23</v>
      </c>
      <c r="C10" s="38"/>
      <c r="D10" s="39">
        <v>1</v>
      </c>
      <c r="E10" s="40">
        <f ca="1">F9</f>
        <v>44476</v>
      </c>
      <c r="F10" s="40">
        <f ca="1">E10+2</f>
        <v>44478</v>
      </c>
      <c r="G10" s="36"/>
      <c r="H10" s="36">
        <f t="shared" si="5"/>
        <v>3</v>
      </c>
      <c r="I10" s="29"/>
      <c r="J10" s="29"/>
      <c r="K10" s="29"/>
      <c r="L10" s="29"/>
      <c r="M10" s="29"/>
      <c r="N10" s="29"/>
      <c r="O10" s="29"/>
      <c r="P10" s="29"/>
      <c r="Q10" s="29"/>
      <c r="R10" s="29"/>
      <c r="S10" s="29"/>
      <c r="T10" s="29"/>
      <c r="U10" s="41"/>
      <c r="V10" s="41"/>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row>
    <row r="11" s="30" customFormat="1" ht="30" customHeight="1">
      <c r="A11" s="1"/>
      <c r="B11" s="37" t="s">
        <v>24</v>
      </c>
      <c r="C11" s="38"/>
      <c r="D11" s="39">
        <v>1</v>
      </c>
      <c r="E11" s="40">
        <f t="shared" ref="E11:E13" ca="1" si="6">F10</f>
        <v>44478</v>
      </c>
      <c r="F11" s="40">
        <f>E11+6</f>
        <v>44484</v>
      </c>
      <c r="G11" s="36"/>
      <c r="H11" s="36">
        <f t="shared" si="5"/>
        <v>7</v>
      </c>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row>
    <row r="12" s="30" customFormat="1" ht="30" customHeight="1">
      <c r="A12" s="1"/>
      <c r="B12" s="37" t="s">
        <v>25</v>
      </c>
      <c r="C12" s="38"/>
      <c r="D12" s="39">
        <v>1</v>
      </c>
      <c r="E12" s="40">
        <f t="shared" ca="1" si="6"/>
        <v>44484</v>
      </c>
      <c r="F12" s="40">
        <f>E12+3</f>
        <v>44487</v>
      </c>
      <c r="G12" s="36"/>
      <c r="H12" s="36">
        <f t="shared" si="5"/>
        <v>4</v>
      </c>
      <c r="I12" s="29"/>
      <c r="J12" s="29"/>
      <c r="K12" s="29"/>
      <c r="L12" s="29"/>
      <c r="M12" s="29"/>
      <c r="N12" s="29"/>
      <c r="O12" s="29"/>
      <c r="P12" s="29"/>
      <c r="Q12" s="29"/>
      <c r="R12" s="29"/>
      <c r="S12" s="29"/>
      <c r="T12" s="29"/>
      <c r="U12" s="29"/>
      <c r="V12" s="29"/>
      <c r="W12" s="29"/>
      <c r="X12" s="29"/>
      <c r="Y12" s="41"/>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row>
    <row r="13" s="30" customFormat="1" ht="30" customHeight="1">
      <c r="A13" s="1"/>
      <c r="B13" s="37" t="s">
        <v>26</v>
      </c>
      <c r="C13" s="38"/>
      <c r="D13" s="39">
        <v>1</v>
      </c>
      <c r="E13" s="40">
        <f t="shared" ca="1" si="6"/>
        <v>44487</v>
      </c>
      <c r="F13" s="40">
        <f>E13+8</f>
        <v>44495</v>
      </c>
      <c r="G13" s="36"/>
      <c r="H13" s="36"/>
      <c r="I13" s="29"/>
      <c r="J13" s="29"/>
      <c r="K13" s="29"/>
      <c r="L13" s="29"/>
      <c r="M13" s="29"/>
      <c r="N13" s="29"/>
      <c r="O13" s="29"/>
      <c r="P13" s="29"/>
      <c r="Q13" s="29"/>
      <c r="R13" s="29"/>
      <c r="S13" s="29"/>
      <c r="T13" s="29"/>
      <c r="U13" s="29"/>
      <c r="V13" s="29"/>
      <c r="W13" s="29"/>
      <c r="X13" s="29"/>
      <c r="Y13" s="41"/>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row>
    <row r="14" s="30" customFormat="1" ht="30" customHeight="1">
      <c r="A14" s="1"/>
      <c r="B14" s="37" t="s">
        <v>27</v>
      </c>
      <c r="C14" s="38"/>
      <c r="D14" s="39">
        <v>1</v>
      </c>
      <c r="E14" s="40">
        <f>F12</f>
        <v>44487</v>
      </c>
      <c r="F14" s="40">
        <f>E14+4</f>
        <v>44491</v>
      </c>
      <c r="G14" s="36"/>
      <c r="H14" s="36">
        <f t="shared" si="5"/>
        <v>5</v>
      </c>
      <c r="I14" s="29"/>
      <c r="J14" s="29"/>
      <c r="K14" s="29"/>
      <c r="L14" s="29"/>
      <c r="M14" s="42"/>
      <c r="N14" s="42"/>
      <c r="O14" s="42"/>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row>
    <row r="15" s="30" customFormat="1" ht="30" customHeight="1">
      <c r="A15" s="3" t="s">
        <v>28</v>
      </c>
      <c r="B15" s="43" t="s">
        <v>29</v>
      </c>
      <c r="C15" s="44"/>
      <c r="D15" s="45"/>
      <c r="E15" s="46"/>
      <c r="F15" s="47"/>
      <c r="G15" s="36"/>
      <c r="H15" s="36" t="str">
        <f t="shared" si="5"/>
        <v/>
      </c>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row>
    <row r="16" s="30" customFormat="1" ht="30" customHeight="1">
      <c r="A16" s="3"/>
      <c r="B16" s="48" t="s">
        <v>30</v>
      </c>
      <c r="C16" s="49"/>
      <c r="D16" s="50">
        <v>0.90000000000000002</v>
      </c>
      <c r="E16" s="51">
        <f>F14+4</f>
        <v>44495</v>
      </c>
      <c r="F16" s="51">
        <f>E16+3</f>
        <v>44498</v>
      </c>
      <c r="G16" s="36"/>
      <c r="H16" s="36">
        <f t="shared" si="5"/>
        <v>4</v>
      </c>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row>
    <row r="17" s="30" customFormat="1" ht="30" customHeight="1">
      <c r="A17" s="1"/>
      <c r="B17" s="48" t="s">
        <v>31</v>
      </c>
      <c r="C17" s="49"/>
      <c r="D17" s="50">
        <v>0.90000000000000002</v>
      </c>
      <c r="E17" s="51">
        <f>E16+2</f>
        <v>44497</v>
      </c>
      <c r="F17" s="51">
        <f>E17+5</f>
        <v>44502</v>
      </c>
      <c r="G17" s="36"/>
      <c r="H17" s="36">
        <f t="shared" si="5"/>
        <v>6</v>
      </c>
      <c r="I17" s="29"/>
      <c r="J17" s="29"/>
      <c r="K17" s="29"/>
      <c r="L17" s="29"/>
      <c r="M17" s="29"/>
      <c r="N17" s="29"/>
      <c r="O17" s="29"/>
      <c r="P17" s="29"/>
      <c r="Q17" s="29"/>
      <c r="R17" s="29"/>
      <c r="S17" s="29"/>
      <c r="T17" s="29"/>
      <c r="U17" s="41"/>
      <c r="V17" s="41"/>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row>
    <row r="18" s="30" customFormat="1" ht="30" customHeight="1">
      <c r="A18" s="1"/>
      <c r="B18" s="48" t="s">
        <v>32</v>
      </c>
      <c r="C18" s="49"/>
      <c r="D18" s="50">
        <v>0.5</v>
      </c>
      <c r="E18" s="51">
        <f>F17</f>
        <v>44502</v>
      </c>
      <c r="F18" s="51">
        <f t="shared" ref="F18:F19" si="7">E18+4</f>
        <v>44506</v>
      </c>
      <c r="G18" s="36"/>
      <c r="H18" s="36"/>
      <c r="I18" s="29"/>
      <c r="J18" s="29"/>
      <c r="K18" s="29"/>
      <c r="L18" s="29"/>
      <c r="M18" s="29"/>
      <c r="N18" s="29"/>
      <c r="O18" s="29"/>
      <c r="P18" s="29"/>
      <c r="Q18" s="29"/>
      <c r="R18" s="29"/>
      <c r="S18" s="29"/>
      <c r="T18" s="29"/>
      <c r="U18" s="41"/>
      <c r="V18" s="41"/>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row>
    <row r="19" s="30" customFormat="1" ht="30" customHeight="1">
      <c r="A19" s="1"/>
      <c r="B19" s="48" t="s">
        <v>33</v>
      </c>
      <c r="C19" s="49"/>
      <c r="D19" s="50">
        <v>1</v>
      </c>
      <c r="E19" s="51">
        <f>F17</f>
        <v>44502</v>
      </c>
      <c r="F19" s="51">
        <f t="shared" si="7"/>
        <v>44506</v>
      </c>
      <c r="G19" s="36"/>
      <c r="H19" s="36">
        <f t="shared" si="5"/>
        <v>5</v>
      </c>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row>
    <row r="20" s="30" customFormat="1" ht="30" customHeight="1">
      <c r="A20" s="1"/>
      <c r="B20" s="48" t="s">
        <v>34</v>
      </c>
      <c r="C20" s="49"/>
      <c r="D20" s="50">
        <v>1</v>
      </c>
      <c r="E20" s="51">
        <f t="shared" ref="E20:E23" ca="1" si="8">F19</f>
        <v>44506</v>
      </c>
      <c r="F20" s="51">
        <f ca="1">E20+2</f>
        <v>44508</v>
      </c>
      <c r="G20" s="36"/>
      <c r="H20" s="36">
        <f t="shared" si="5"/>
        <v>3</v>
      </c>
      <c r="I20" s="29"/>
      <c r="J20" s="29"/>
      <c r="K20" s="29"/>
      <c r="L20" s="29"/>
      <c r="M20" s="29"/>
      <c r="N20" s="29"/>
      <c r="O20" s="29"/>
      <c r="P20" s="29"/>
      <c r="Q20" s="29"/>
      <c r="R20" s="29"/>
      <c r="S20" s="29"/>
      <c r="T20" s="29"/>
      <c r="U20" s="29"/>
      <c r="V20" s="29"/>
      <c r="W20" s="29"/>
      <c r="X20" s="29"/>
      <c r="Y20" s="41"/>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row>
    <row r="21" s="30" customFormat="1" ht="30" customHeight="1">
      <c r="A21" s="1"/>
      <c r="B21" s="48" t="s">
        <v>35</v>
      </c>
      <c r="C21" s="49"/>
      <c r="D21" s="50">
        <v>1</v>
      </c>
      <c r="E21" s="51">
        <f t="shared" ca="1" si="8"/>
        <v>44508</v>
      </c>
      <c r="F21" s="51">
        <f>E21+10</f>
        <v>44518</v>
      </c>
      <c r="G21" s="36"/>
      <c r="H21" s="36"/>
      <c r="I21" s="29"/>
      <c r="J21" s="29"/>
      <c r="K21" s="29"/>
      <c r="L21" s="29"/>
      <c r="M21" s="29"/>
      <c r="N21" s="29"/>
      <c r="O21" s="29"/>
      <c r="P21" s="29"/>
      <c r="Q21" s="29"/>
      <c r="R21" s="29"/>
      <c r="S21" s="29"/>
      <c r="T21" s="29"/>
      <c r="U21" s="29"/>
      <c r="V21" s="29"/>
      <c r="W21" s="29"/>
      <c r="X21" s="29"/>
      <c r="Y21" s="41"/>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row>
    <row r="22" s="30" customFormat="1" ht="30" customHeight="1">
      <c r="A22" s="1"/>
      <c r="B22" s="48" t="s">
        <v>36</v>
      </c>
      <c r="C22" s="49"/>
      <c r="D22" s="50">
        <v>1</v>
      </c>
      <c r="E22" s="51">
        <f t="shared" ca="1" si="8"/>
        <v>44518</v>
      </c>
      <c r="F22" s="51">
        <f>E22+5</f>
        <v>44523</v>
      </c>
      <c r="G22" s="36"/>
      <c r="H22" s="36"/>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row>
    <row r="23" s="30" customFormat="1" ht="30" customHeight="1">
      <c r="A23" s="1"/>
      <c r="B23" s="48" t="s">
        <v>37</v>
      </c>
      <c r="C23" s="49"/>
      <c r="D23" s="50">
        <v>1</v>
      </c>
      <c r="E23" s="51">
        <f t="shared" ca="1" si="8"/>
        <v>44523</v>
      </c>
      <c r="F23" s="51">
        <f>E23+10</f>
        <v>44533</v>
      </c>
      <c r="G23" s="36"/>
      <c r="H23" s="36"/>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row>
    <row r="24" s="30" customFormat="1" ht="30" customHeight="1">
      <c r="A24" s="1" t="s">
        <v>38</v>
      </c>
      <c r="B24" s="52" t="s">
        <v>39</v>
      </c>
      <c r="C24" s="53"/>
      <c r="D24" s="54"/>
      <c r="E24" s="55"/>
      <c r="F24" s="56"/>
      <c r="G24" s="36"/>
      <c r="H24" s="36" t="str">
        <f t="shared" si="5"/>
        <v/>
      </c>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row>
    <row r="25" s="30" customFormat="1" ht="30" customHeight="1">
      <c r="A25" s="1"/>
      <c r="B25" s="57" t="s">
        <v>40</v>
      </c>
      <c r="C25" s="58"/>
      <c r="D25" s="59">
        <v>1</v>
      </c>
      <c r="E25" s="60">
        <f>F23+2</f>
        <v>44535</v>
      </c>
      <c r="F25" s="60">
        <f>E25+15</f>
        <v>44550</v>
      </c>
      <c r="G25" s="36"/>
      <c r="H25" s="36">
        <f t="shared" si="5"/>
        <v>16</v>
      </c>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row>
    <row r="26" s="30" customFormat="1" ht="30" customHeight="1">
      <c r="A26" s="1"/>
      <c r="B26" s="57" t="s">
        <v>41</v>
      </c>
      <c r="C26" s="58"/>
      <c r="D26" s="59">
        <v>1</v>
      </c>
      <c r="E26" s="60">
        <f>F25</f>
        <v>44550</v>
      </c>
      <c r="F26" s="60">
        <f>E26+4</f>
        <v>44554</v>
      </c>
      <c r="G26" s="36"/>
      <c r="H26" s="36">
        <f>IF(OR(ISBLANK(task_start),ISBLANK(task_end)),"",task_end-task_start+1)</f>
        <v>5</v>
      </c>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row>
    <row r="27" s="30" customFormat="1" ht="30" customHeight="1">
      <c r="A27" s="1" t="s">
        <v>38</v>
      </c>
      <c r="B27" s="61" t="s">
        <v>42</v>
      </c>
      <c r="C27" s="62"/>
      <c r="D27" s="63"/>
      <c r="E27" s="64"/>
      <c r="F27" s="65"/>
      <c r="G27" s="36"/>
      <c r="H27" s="36" t="str">
        <f>IF(OR(ISBLANK(task_start),ISBLANK(task_end)),"",task_end-task_start+1)</f>
        <v/>
      </c>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row>
    <row r="28" s="30" customFormat="1" ht="30" customHeight="1">
      <c r="A28" s="1"/>
      <c r="B28" s="66" t="s">
        <v>43</v>
      </c>
      <c r="C28" s="67"/>
      <c r="D28" s="68">
        <v>1</v>
      </c>
      <c r="E28" s="69">
        <f>F26</f>
        <v>44554</v>
      </c>
      <c r="F28" s="69">
        <f>E28+10</f>
        <v>44564</v>
      </c>
      <c r="G28" s="36"/>
      <c r="H28" s="36">
        <f>IF(OR(ISBLANK(task_start),ISBLANK(task_end)),"",task_end-task_start+1)</f>
        <v>11</v>
      </c>
      <c r="I28" s="29"/>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row>
    <row r="29" s="30" customFormat="1" ht="30" customHeight="1">
      <c r="A29" s="1"/>
      <c r="B29" s="66" t="s">
        <v>44</v>
      </c>
      <c r="C29" s="67"/>
      <c r="D29" s="68">
        <v>1</v>
      </c>
      <c r="E29" s="69">
        <f>E28</f>
        <v>44554</v>
      </c>
      <c r="F29" s="69">
        <f>F28</f>
        <v>44564</v>
      </c>
      <c r="G29" s="36"/>
      <c r="H29" s="36">
        <f>IF(OR(ISBLANK(task_start),ISBLANK(task_end)),"",task_end-task_start+1)</f>
        <v>11</v>
      </c>
      <c r="I29" s="29"/>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29"/>
      <c r="BH29" s="29"/>
      <c r="BI29" s="29"/>
      <c r="BJ29" s="29"/>
      <c r="BK29" s="29"/>
      <c r="BL29" s="29"/>
    </row>
    <row r="30" s="30" customFormat="1" ht="30" customHeight="1">
      <c r="A30" s="1"/>
      <c r="B30" s="66" t="s">
        <v>45</v>
      </c>
      <c r="C30" s="67"/>
      <c r="D30" s="68">
        <v>1</v>
      </c>
      <c r="E30" s="69">
        <f>E28</f>
        <v>44554</v>
      </c>
      <c r="F30" s="69">
        <f>F28</f>
        <v>44564</v>
      </c>
      <c r="G30" s="36"/>
      <c r="H30" s="36">
        <f>IF(OR(ISBLANK(task_start),ISBLANK(task_end)),"",task_end-task_start+1)</f>
        <v>11</v>
      </c>
      <c r="I30" s="29"/>
      <c r="J30" s="29"/>
      <c r="K30" s="29"/>
      <c r="L30" s="29"/>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row>
    <row r="31" s="30" customFormat="1" ht="30" hidden="1" customHeight="1">
      <c r="A31" s="1"/>
      <c r="B31" s="66" t="s">
        <v>46</v>
      </c>
      <c r="C31" s="67"/>
      <c r="D31" s="68"/>
      <c r="E31" s="69" t="s">
        <v>47</v>
      </c>
      <c r="F31" s="69" t="s">
        <v>47</v>
      </c>
      <c r="G31" s="36"/>
      <c r="H31" s="36" t="e">
        <f>IF(OR(ISBLANK(task_start),ISBLANK(task_end)),"",task_end-task_start+1)</f>
        <v>#VALUE!</v>
      </c>
      <c r="I31" s="29"/>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row>
    <row r="32" s="30" customFormat="1" ht="30" hidden="1" customHeight="1">
      <c r="A32" s="1"/>
      <c r="B32" s="66" t="s">
        <v>48</v>
      </c>
      <c r="C32" s="67"/>
      <c r="D32" s="68"/>
      <c r="E32" s="69" t="s">
        <v>47</v>
      </c>
      <c r="F32" s="69" t="s">
        <v>47</v>
      </c>
      <c r="G32" s="36"/>
      <c r="H32" s="36" t="e">
        <f>IF(OR(ISBLANK(task_start),ISBLANK(task_end)),"",task_end-task_start+1)</f>
        <v>#VALUE!</v>
      </c>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row>
    <row r="33" s="30" customFormat="1" ht="30" customHeight="1">
      <c r="A33" s="1" t="s">
        <v>49</v>
      </c>
      <c r="B33" s="70"/>
      <c r="C33" s="71"/>
      <c r="D33" s="72"/>
      <c r="E33" s="73"/>
      <c r="F33" s="73"/>
      <c r="G33" s="36"/>
      <c r="H33" s="36" t="str">
        <f>IF(OR(ISBLANK(task_start),ISBLANK(task_end)),"",task_end-task_start+1)</f>
        <v/>
      </c>
      <c r="I33" s="29"/>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row>
    <row r="34" s="30" customFormat="1" ht="30" customHeight="1">
      <c r="A34" s="3" t="s">
        <v>50</v>
      </c>
      <c r="B34" s="74" t="s">
        <v>51</v>
      </c>
      <c r="C34" s="75"/>
      <c r="D34" s="76"/>
      <c r="E34" s="77"/>
      <c r="F34" s="78"/>
      <c r="G34" s="79"/>
      <c r="H34" s="79" t="str">
        <f>IF(OR(ISBLANK(task_start),ISBLANK(task_end)),"",task_end-task_start+1)</f>
        <v/>
      </c>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c r="AM34" s="80"/>
      <c r="AN34" s="80"/>
      <c r="AO34" s="80"/>
      <c r="AP34" s="80"/>
      <c r="AQ34" s="80"/>
      <c r="AR34" s="80"/>
      <c r="AS34" s="80"/>
      <c r="AT34" s="80"/>
      <c r="AU34" s="80"/>
      <c r="AV34" s="80"/>
      <c r="AW34" s="80"/>
      <c r="AX34" s="80"/>
      <c r="AY34" s="80"/>
      <c r="AZ34" s="80"/>
      <c r="BA34" s="80"/>
      <c r="BB34" s="80"/>
      <c r="BC34" s="80"/>
      <c r="BD34" s="80"/>
      <c r="BE34" s="80"/>
      <c r="BF34" s="80"/>
      <c r="BG34" s="80"/>
      <c r="BH34" s="80"/>
      <c r="BI34" s="80"/>
      <c r="BJ34" s="80"/>
      <c r="BK34" s="80"/>
      <c r="BL34" s="80"/>
    </row>
    <row r="35" ht="30" customHeight="1">
      <c r="G35" s="81"/>
    </row>
    <row r="36" ht="30" customHeight="1">
      <c r="C36" s="9"/>
      <c r="F36" s="82"/>
    </row>
    <row r="37" ht="30" customHeight="1">
      <c r="C37" s="83"/>
    </row>
  </sheetData>
  <mergeCells count="12">
    <mergeCell ref="C3:D3"/>
    <mergeCell ref="E3:F3"/>
    <mergeCell ref="C4:D4"/>
    <mergeCell ref="I4:O4"/>
    <mergeCell ref="P4:V4"/>
    <mergeCell ref="W4:AC4"/>
    <mergeCell ref="AD4:AJ4"/>
    <mergeCell ref="AK4:AQ4"/>
    <mergeCell ref="AR4:AX4"/>
    <mergeCell ref="AY4:BE4"/>
    <mergeCell ref="BF4:BL4"/>
    <mergeCell ref="B5:G5"/>
  </mergeCells>
  <printOptions headings="0" gridLines="0"/>
  <pageMargins left="0.34999999999999998" right="0.34999999999999998" top="0.34999999999999998" bottom="0.5" header="0.29999999999999999" footer="0.29999999999999999"/>
  <pageSetup blackAndWhite="0" cellComments="none" copies="1" draft="0" errors="displayed" firstPageNumber="-1" fitToHeight="0" fitToWidth="1" horizontalDpi="600" orientation="landscape" pageOrder="downThenOver" paperSize="9" scale="57" useFirstPageNumber="0" usePrinterDefaults="1" verticalDpi="600"/>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expression" priority="33" id="{00E50030-0040-49A7-A5DC-005700940063}">
            <xm:f>AND(TODAY()&gt;=I$5,TODAY()&lt;J$5)</xm:f>
            <x14:dxf>
              <border>
                <left style="thin">
                  <color rgb="FFC00000"/>
                </left>
                <right style="thin">
                  <color rgb="FFC00000"/>
                </right>
                <top style="none"/>
                <bottom style="none"/>
                <diagonal style="none"/>
                <vertical style="none"/>
                <horizontal style="none"/>
              </border>
            </x14:dxf>
          </x14:cfRule>
          <xm:sqref>I5:BL34</xm:sqref>
        </x14:conditionalFormatting>
        <x14:conditionalFormatting xmlns:xm="http://schemas.microsoft.com/office/excel/2006/main">
          <x14:cfRule type="expression" priority="28" stopIfTrue="1" id="{003100B3-0070-4B06-85CA-00B000880036}">
            <xm:f>AND(task_end&gt;=I$5,task_start&lt;J$5)</xm:f>
            <x14:dxf>
              <fill>
                <patternFill patternType="solid">
                  <fgColor theme="7"/>
                  <bgColor theme="7"/>
                </patternFill>
              </fill>
              <border>
                <left style="none"/>
                <right style="none"/>
                <top style="none"/>
                <bottom style="none"/>
                <diagonal style="none"/>
                <vertical style="none"/>
                <horizontal style="none"/>
              </border>
            </x14:dxf>
          </x14:cfRule>
          <xm:sqref>I7:BL34</xm:sqref>
        </x14:conditionalFormatting>
        <x14:conditionalFormatting xmlns:xm="http://schemas.microsoft.com/office/excel/2006/main">
          <x14:cfRule type="expression" priority="27" id="{00A600FC-00ED-4735-8E34-000100CE00D0}">
            <xm:f>AND(task_start&lt;=I$5,ROUNDDOWN((task_end-task_start+1)*task_progress,0)+task_start-1&gt;=I$5)</xm:f>
            <x14:dxf>
              <fill>
                <patternFill patternType="solid">
                  <fgColor theme="0" tint="-0.34998626667073579"/>
                  <bgColor theme="0" tint="-0.34998626667073579"/>
                </patternFill>
              </fill>
            </x14:dxf>
          </x14:cfRule>
          <xm:sqref>I7:BL34</xm:sqref>
        </x14:conditionalFormatting>
        <x14:conditionalFormatting xmlns:xm="http://schemas.microsoft.com/office/excel/2006/main">
          <x14:cfRule type="dataBar" priority="14" id="{007C00B4-0016-4519-9696-00EB00BE00A2}">
            <x14:dataBar maxLength="100" minLength="0" axisPosition="automatic" direction="context" gradient="0">
              <x14:cfvo type="num">
                <xm:f>0</xm:f>
              </x14:cfvo>
              <x14:cfvo type="num">
                <xm:f>1</xm:f>
              </x14:cfvo>
              <x14:fillColor theme="0" tint="-0.249977111117893"/>
              <x14:negativeFillColor indexed="2"/>
              <x14:axisColor indexed="64"/>
            </x14:dataBar>
          </x14:cfRule>
          <xm:sqref>D7:D34</xm:sqref>
        </x14:conditionalFormatting>
      </x14:conditionalFormattings>
    </ext>
    <ext xmlns:x14="http://schemas.microsoft.com/office/spreadsheetml/2009/9/main" uri="{CCE6A557-97BC-4b89-ADB6-D9C93CAAB3DF}">
      <x14:dataValidations xmlns:xm="http://schemas.microsoft.com/office/excel/2006/main" count="1" disablePrompts="0">
        <x14:dataValidation xr:uid="{00820037-00C0-444B-8123-0090000B00AB}" type="whole" allowBlank="1" errorStyle="stop" imeMode="noControl" operator="greaterThanOrEqual" prompt="Changing this number will scroll the Gantt Chart view." promptTitle="Display Week" showDropDown="0" showErrorMessage="0" showInputMessage="1">
          <x14:formula1>
            <xm:f>1</xm:f>
          </x14:formula1>
          <xm:sqref>E4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Views>
    <sheetView showGridLines="0" workbookViewId="0" zoomScale="100">
      <selection activeCell="A1" activeCellId="0" sqref="A1"/>
    </sheetView>
  </sheetViews>
  <sheetFormatPr defaultRowHeight="14.25"/>
  <cols>
    <col customWidth="1" min="1" max="1" style="84" width="87.140625"/>
    <col min="2" max="16384" style="6" width="9.140625"/>
  </cols>
  <sheetData>
    <row r="1" ht="46.5" customHeight="1"/>
    <row r="2" s="85" customFormat="1" ht="16.5">
      <c r="A2" s="86" t="s">
        <v>52</v>
      </c>
      <c r="B2" s="86"/>
    </row>
    <row r="3" s="87" customFormat="1" ht="27" customHeight="1">
      <c r="A3" s="88" t="s">
        <v>53</v>
      </c>
      <c r="B3" s="88"/>
    </row>
    <row r="4" s="89" customFormat="1" ht="21">
      <c r="A4" s="90" t="s">
        <v>54</v>
      </c>
    </row>
    <row r="5" ht="74.099999999999994" customHeight="1">
      <c r="A5" s="91" t="s">
        <v>55</v>
      </c>
    </row>
    <row r="6" ht="26.25" customHeight="1">
      <c r="A6" s="90" t="s">
        <v>56</v>
      </c>
    </row>
    <row r="7" s="84" customFormat="1" ht="204.94999999999999" customHeight="1">
      <c r="A7" s="92" t="s">
        <v>57</v>
      </c>
    </row>
    <row r="8" s="89" customFormat="1" ht="21">
      <c r="A8" s="90" t="s">
        <v>58</v>
      </c>
    </row>
    <row r="9" ht="57">
      <c r="A9" s="91" t="s">
        <v>59</v>
      </c>
    </row>
    <row r="10" s="84" customFormat="1" ht="27.949999999999999" customHeight="1">
      <c r="A10" s="93" t="s">
        <v>60</v>
      </c>
    </row>
    <row r="11" s="89" customFormat="1" ht="21">
      <c r="A11" s="90" t="s">
        <v>61</v>
      </c>
    </row>
    <row r="12" ht="28.5">
      <c r="A12" s="91" t="s">
        <v>62</v>
      </c>
    </row>
    <row r="13" s="84" customFormat="1" ht="27.949999999999999" customHeight="1">
      <c r="A13" s="93" t="s">
        <v>63</v>
      </c>
    </row>
    <row r="14" s="89" customFormat="1" ht="21">
      <c r="A14" s="90" t="s">
        <v>64</v>
      </c>
    </row>
    <row r="15" ht="75" customHeight="1">
      <c r="A15" s="91" t="s">
        <v>65</v>
      </c>
    </row>
    <row r="16" ht="71.25">
      <c r="A16" s="91" t="s">
        <v>66</v>
      </c>
    </row>
  </sheetData>
  <hyperlinks>
    <hyperlink r:id="rId1" ref="A2"/>
    <hyperlink r:id="rId2" ref="A3"/>
    <hyperlink r:id="rId3" ref="A10"/>
    <hyperlink r:id="rId4" ref="A13"/>
  </hyperlinks>
  <printOptions headings="0" gridLines="0"/>
  <pageMargins left="0.5" right="0.5" top="0.5" bottom="0.5" header="0.29999999999999999" footer="0.29999999999999999"/>
  <pageSetup blackAndWhite="0" cellComments="none" copies="1" draft="0" errors="displayed" firstPageNumber="-1" fitToHeight="1" fitToWidth="1" horizontalDpi="600" orientation="portrait" pageOrder="downThenOver" paperSize="9" scale="100" useFirstPageNumber="0" usePrinterDefaults="1" verticalDpi="600"/>
  <headerFooter/>
  <drawing r:id="rId5"/>
</worksheet>
</file>

<file path=docProps/app.xml><?xml version="1.0" encoding="utf-8"?>
<Properties xmlns="http://schemas.openxmlformats.org/officeDocument/2006/extended-properties" xmlns:vt="http://schemas.openxmlformats.org/officeDocument/2006/docPropsVTypes">
  <Application>ONLYOFFICE/6.4.2.17</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revision>7</cp:revision>
  <dcterms:created xsi:type="dcterms:W3CDTF">2019-03-19T17:17:03Z</dcterms:created>
  <dcterms:modified xsi:type="dcterms:W3CDTF">2022-01-06T09:59:53Z</dcterms:modified>
</cp:coreProperties>
</file>

<file path=docProps/custom.xml><?xml version="1.0" encoding="utf-8"?>
<Properties xmlns="http://schemas.openxmlformats.org/officeDocument/2006/custom-properties" xmlns:vt="http://schemas.openxmlformats.org/officeDocument/2006/docPropsVTypes"/>
</file>